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player/Desktop/AP-VRG-PVR-RefugiaAR/"/>
    </mc:Choice>
  </mc:AlternateContent>
  <xr:revisionPtr revIDLastSave="0" documentId="13_ncr:1_{8290D994-3D8D-974B-AA1C-F2E19FF802FF}" xr6:coauthVersionLast="47" xr6:coauthVersionMax="47" xr10:uidLastSave="{00000000-0000-0000-0000-000000000000}"/>
  <bookViews>
    <workbookView xWindow="15120" yWindow="660" windowWidth="15120" windowHeight="17200" xr2:uid="{2B88350A-688B-394D-9B31-73924C2CF7D3}"/>
  </bookViews>
  <sheets>
    <sheet name="PostWasting_PreWasting_Differ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5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sharedStrings.xml><?xml version="1.0" encoding="utf-8"?>
<sst xmlns="http://schemas.openxmlformats.org/spreadsheetml/2006/main" count="53" uniqueCount="22">
  <si>
    <t>Site_Category</t>
  </si>
  <si>
    <t>Species</t>
  </si>
  <si>
    <t>stdev_Pre-Wasting</t>
  </si>
  <si>
    <t>stdev_Wasting Event</t>
  </si>
  <si>
    <t>stdev_Post-Wasting Recovery</t>
  </si>
  <si>
    <t>Site_Mean_Pre-Wasting</t>
  </si>
  <si>
    <t>Site_Mean_Wasting Event</t>
  </si>
  <si>
    <t>Site_Mean_Post-Wasting Recovery</t>
  </si>
  <si>
    <t>stdev_Difference</t>
  </si>
  <si>
    <t>mean_Difference</t>
  </si>
  <si>
    <t>PVR-Adj</t>
  </si>
  <si>
    <t>Mesocentrotus franciscanus</t>
  </si>
  <si>
    <t>PVR-Control</t>
  </si>
  <si>
    <t>Non-MPA</t>
  </si>
  <si>
    <t>MPA</t>
  </si>
  <si>
    <t>Patiria miniata</t>
  </si>
  <si>
    <t>Pisaster giganteus</t>
  </si>
  <si>
    <t>Pisaster ochraceus</t>
  </si>
  <si>
    <t>Strongylocentrotus purpuratus</t>
  </si>
  <si>
    <t>Recovery</t>
  </si>
  <si>
    <t>Decrease</t>
  </si>
  <si>
    <t>Proportion of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</si>
</sst>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9" fontId="0" fillId="0" borderId="11" xfId="0" applyNumberFormat="1" applyBorder="1"/>
    <xf numFmtId="9" fontId="0" fillId="0" borderId="11" xfId="1" applyFont="1" applyBorder="1"/>
    <xf numFmtId="9" fontId="0" fillId="0" borderId="12" xfId="1" applyFont="1" applyBorder="1"/>
    <xf numFmtId="0" fontId="0" fillId="0" borderId="13" xfId="0" applyBorder="1"/>
    <xf numFmtId="2" fontId="0" fillId="0" borderId="0" xfId="0" applyNumberFormat="1"/>
    <xf numFmtId="9" fontId="0" fillId="0" borderId="0" xfId="0" applyNumberFormat="1"/>
    <xf numFmtId="9" fontId="0" fillId="0" borderId="0" xfId="1" applyFont="1" applyBorder="1"/>
    <xf numFmtId="9" fontId="0" fillId="0" borderId="14" xfId="1" applyFont="1" applyBorder="1"/>
    <xf numFmtId="0" fontId="0" fillId="0" borderId="15" xfId="0" applyBorder="1"/>
    <xf numFmtId="0" fontId="0" fillId="0" borderId="16" xfId="0" applyBorder="1"/>
    <xf numFmtId="2" fontId="0" fillId="0" borderId="16" xfId="0" applyNumberFormat="1" applyBorder="1"/>
    <xf numFmtId="9" fontId="0" fillId="0" borderId="16" xfId="0" applyNumberFormat="1" applyBorder="1"/>
    <xf numFmtId="9" fontId="0" fillId="0" borderId="16" xfId="1" applyFont="1" applyBorder="1"/>
    <xf numFmtId="9" fontId="0" fillId="0" borderId="17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CF96-F6F3-9C4C-8774-D459D1529388}">
  <dimension ref="A1:M21"/>
  <sheetViews>
    <sheetView tabSelected="1" topLeftCell="F1" workbookViewId="0">
      <selection activeCell="K3" sqref="K3"/>
    </sheetView>
  </sheetViews>
  <sheetFormatPr baseColWidth="10" defaultRowHeight="16" x14ac:dyDescent="0.2"/>
  <cols>
    <col min="1" max="1" width="20.6640625" customWidth="1"/>
    <col min="2" max="2" width="19.83203125" customWidth="1"/>
    <col min="3" max="3" width="11.83203125" hidden="1" customWidth="1"/>
    <col min="4" max="4" width="12.83203125" hidden="1" customWidth="1"/>
    <col min="5" max="5" width="10.83203125" hidden="1" customWidth="1"/>
    <col min="6" max="7" width="19.83203125" customWidth="1"/>
    <col min="8" max="8" width="25.5" customWidth="1"/>
    <col min="9" max="10" width="19.83203125" hidden="1" customWidth="1"/>
    <col min="11" max="11" width="20.83203125" customWidth="1"/>
    <col min="12" max="12" width="12.83203125" customWidth="1"/>
  </cols>
  <sheetData>
    <row r="1" spans="1:13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</v>
      </c>
      <c r="L1" t="s">
        <v>20</v>
      </c>
      <c r="M1" t="s">
        <v>19</v>
      </c>
    </row>
    <row r="2" spans="1:13" x14ac:dyDescent="0.2">
      <c r="A2" s="1" t="s">
        <v>10</v>
      </c>
      <c r="B2" s="2" t="s">
        <v>11</v>
      </c>
      <c r="C2" s="3">
        <v>21.552935900000001</v>
      </c>
      <c r="D2" s="3">
        <v>6.6480094909999998</v>
      </c>
      <c r="E2" s="3">
        <v>42.895094129999997</v>
      </c>
      <c r="F2" s="3">
        <v>15.54644809</v>
      </c>
      <c r="G2" s="3">
        <v>3.2843137250000001</v>
      </c>
      <c r="H2" s="3">
        <v>13.466785290000001</v>
      </c>
      <c r="I2" s="3">
        <v>21.342158229999999</v>
      </c>
      <c r="J2" s="3">
        <v>-2.0796627970000001</v>
      </c>
      <c r="K2" s="4">
        <v>0.87</v>
      </c>
      <c r="L2" s="5">
        <f>1-G2/F2</f>
        <v>0.78874185884860859</v>
      </c>
      <c r="M2" s="6">
        <f>H2/G2</f>
        <v>4.1003346262239306</v>
      </c>
    </row>
    <row r="3" spans="1:13" x14ac:dyDescent="0.2">
      <c r="A3" s="7" t="s">
        <v>12</v>
      </c>
      <c r="B3" t="s">
        <v>11</v>
      </c>
      <c r="C3" s="8">
        <v>54.157674100000001</v>
      </c>
      <c r="D3" s="8">
        <v>25.222353930000001</v>
      </c>
      <c r="E3" s="8">
        <v>19.22043919</v>
      </c>
      <c r="F3" s="8">
        <v>35.454545449999998</v>
      </c>
      <c r="G3" s="8">
        <v>17.16856061</v>
      </c>
      <c r="H3" s="8">
        <v>14.91385373</v>
      </c>
      <c r="I3" s="8">
        <v>-34.937234910000001</v>
      </c>
      <c r="J3" s="8">
        <v>-20.540691729999999</v>
      </c>
      <c r="K3" s="9">
        <v>0.42</v>
      </c>
      <c r="L3" s="10">
        <f t="shared" ref="L3:L21" si="0">1-G3/F3</f>
        <v>0.5157585468353536</v>
      </c>
      <c r="M3" s="11">
        <f t="shared" ref="M3:M21" si="1">H3/G3</f>
        <v>0.86867234061038734</v>
      </c>
    </row>
    <row r="4" spans="1:13" x14ac:dyDescent="0.2">
      <c r="A4" s="7" t="s">
        <v>13</v>
      </c>
      <c r="B4" t="s">
        <v>11</v>
      </c>
      <c r="C4" s="8">
        <v>68.037339810000006</v>
      </c>
      <c r="D4" s="8">
        <v>68.284279260000005</v>
      </c>
      <c r="E4" s="8">
        <v>30.63780152</v>
      </c>
      <c r="F4" s="8">
        <v>50.378787879999997</v>
      </c>
      <c r="G4" s="8">
        <v>28.76173709</v>
      </c>
      <c r="H4" s="8">
        <v>17.258371390000001</v>
      </c>
      <c r="I4" s="8">
        <v>-37.399538290000002</v>
      </c>
      <c r="J4" s="8">
        <v>-33.120416489999997</v>
      </c>
      <c r="K4" s="9">
        <v>0.34</v>
      </c>
      <c r="L4" s="10">
        <f t="shared" si="0"/>
        <v>0.42909033146035269</v>
      </c>
      <c r="M4" s="11">
        <f t="shared" si="1"/>
        <v>0.60004621195151886</v>
      </c>
    </row>
    <row r="5" spans="1:13" ht="17" thickBot="1" x14ac:dyDescent="0.25">
      <c r="A5" s="12" t="s">
        <v>14</v>
      </c>
      <c r="B5" s="13" t="s">
        <v>11</v>
      </c>
      <c r="C5" s="14">
        <v>121.0827173</v>
      </c>
      <c r="D5" s="14">
        <v>29.319918860000001</v>
      </c>
      <c r="E5" s="14">
        <v>26.155763709999999</v>
      </c>
      <c r="F5" s="14">
        <v>85.539772729999996</v>
      </c>
      <c r="G5" s="14">
        <v>25.3125</v>
      </c>
      <c r="H5" s="14">
        <v>16.254935140000001</v>
      </c>
      <c r="I5" s="14">
        <v>-94.926953639999994</v>
      </c>
      <c r="J5" s="14">
        <v>-69.284837589999995</v>
      </c>
      <c r="K5" s="15">
        <v>0.19</v>
      </c>
      <c r="L5" s="16">
        <f t="shared" si="0"/>
        <v>0.70408502159694719</v>
      </c>
      <c r="M5" s="17">
        <f t="shared" si="1"/>
        <v>0.64217027713580255</v>
      </c>
    </row>
    <row r="6" spans="1:13" x14ac:dyDescent="0.2">
      <c r="A6" s="1" t="s">
        <v>10</v>
      </c>
      <c r="B6" s="2" t="s">
        <v>15</v>
      </c>
      <c r="C6" s="3">
        <v>11.4731763</v>
      </c>
      <c r="D6" s="3">
        <v>3.3178998399999999</v>
      </c>
      <c r="E6" s="3">
        <v>7.5040670230000002</v>
      </c>
      <c r="F6" s="3">
        <v>9.9726775960000005</v>
      </c>
      <c r="G6" s="3">
        <v>1.262254902</v>
      </c>
      <c r="H6" s="3">
        <v>3.460854093</v>
      </c>
      <c r="I6" s="3">
        <v>-3.9691092769999998</v>
      </c>
      <c r="J6" s="3">
        <v>-6.5118235029999996</v>
      </c>
      <c r="K6" s="4">
        <v>0.35</v>
      </c>
      <c r="L6" s="5">
        <f t="shared" si="0"/>
        <v>0.87342868654389416</v>
      </c>
      <c r="M6" s="6">
        <f t="shared" si="1"/>
        <v>2.7418028541750119</v>
      </c>
    </row>
    <row r="7" spans="1:13" x14ac:dyDescent="0.2">
      <c r="A7" s="7" t="s">
        <v>12</v>
      </c>
      <c r="B7" t="s">
        <v>15</v>
      </c>
      <c r="C7" s="8">
        <v>41.13949401</v>
      </c>
      <c r="D7" s="8">
        <v>12.627201790000001</v>
      </c>
      <c r="E7" s="8">
        <v>13.13370555</v>
      </c>
      <c r="F7" s="8">
        <v>27.348484849999998</v>
      </c>
      <c r="G7" s="8">
        <v>5.5208333329999997</v>
      </c>
      <c r="H7" s="8">
        <v>4.7503516169999997</v>
      </c>
      <c r="I7" s="8">
        <v>-28.005788460000002</v>
      </c>
      <c r="J7" s="8">
        <v>-22.598133229999998</v>
      </c>
      <c r="K7" s="9">
        <v>0.17</v>
      </c>
      <c r="L7" s="10">
        <f t="shared" si="0"/>
        <v>0.79813019392918949</v>
      </c>
      <c r="M7" s="11">
        <f t="shared" si="1"/>
        <v>0.86044104765949836</v>
      </c>
    </row>
    <row r="8" spans="1:13" x14ac:dyDescent="0.2">
      <c r="A8" s="7" t="s">
        <v>14</v>
      </c>
      <c r="B8" t="s">
        <v>15</v>
      </c>
      <c r="C8" s="8">
        <v>48.391694870000002</v>
      </c>
      <c r="D8" s="8">
        <v>20.093406720000001</v>
      </c>
      <c r="E8" s="8">
        <v>12.462180979999999</v>
      </c>
      <c r="F8" s="8">
        <v>37.992424239999998</v>
      </c>
      <c r="G8" s="8">
        <v>6.923076923</v>
      </c>
      <c r="H8" s="8">
        <v>4.9915397629999996</v>
      </c>
      <c r="I8" s="8">
        <v>-35.929513900000003</v>
      </c>
      <c r="J8" s="8">
        <v>-33.000884480000003</v>
      </c>
      <c r="K8" s="9">
        <v>0.13</v>
      </c>
      <c r="L8" s="10">
        <f t="shared" si="0"/>
        <v>0.8177774369104065</v>
      </c>
      <c r="M8" s="11">
        <f t="shared" si="1"/>
        <v>0.72100018799689991</v>
      </c>
    </row>
    <row r="9" spans="1:13" ht="17" thickBot="1" x14ac:dyDescent="0.25">
      <c r="A9" s="12" t="s">
        <v>13</v>
      </c>
      <c r="B9" s="13" t="s">
        <v>15</v>
      </c>
      <c r="C9" s="14">
        <v>39.009680410000001</v>
      </c>
      <c r="D9" s="14">
        <v>9.1646210250000006</v>
      </c>
      <c r="E9" s="14">
        <v>5.1239485629999999</v>
      </c>
      <c r="F9" s="14">
        <v>30.4469697</v>
      </c>
      <c r="G9" s="14">
        <v>2.6995305159999998</v>
      </c>
      <c r="H9" s="14">
        <v>1.9577625569999999</v>
      </c>
      <c r="I9" s="14">
        <v>-33.885731849999999</v>
      </c>
      <c r="J9" s="14">
        <v>-28.489207140000001</v>
      </c>
      <c r="K9" s="15">
        <v>0.06</v>
      </c>
      <c r="L9" s="16">
        <f t="shared" si="0"/>
        <v>0.91133664392223568</v>
      </c>
      <c r="M9" s="17">
        <f t="shared" si="1"/>
        <v>0.72522334731777482</v>
      </c>
    </row>
    <row r="10" spans="1:13" x14ac:dyDescent="0.2">
      <c r="A10" s="1" t="s">
        <v>10</v>
      </c>
      <c r="B10" s="2" t="s">
        <v>16</v>
      </c>
      <c r="C10" s="3">
        <v>7.5908443910000001</v>
      </c>
      <c r="D10" s="3">
        <v>0.20099120100000001</v>
      </c>
      <c r="E10" s="3">
        <v>1.8746063719999999</v>
      </c>
      <c r="F10" s="3">
        <v>6.6939890709999998</v>
      </c>
      <c r="G10" s="3">
        <v>2.4509804E-2</v>
      </c>
      <c r="H10" s="3">
        <v>0.34549228900000001</v>
      </c>
      <c r="I10" s="3">
        <v>-5.7162380190000004</v>
      </c>
      <c r="J10" s="3">
        <v>-6.3484967819999998</v>
      </c>
      <c r="K10" s="4">
        <v>0.05</v>
      </c>
      <c r="L10" s="5">
        <f t="shared" si="0"/>
        <v>0.996338535402428</v>
      </c>
      <c r="M10" s="6">
        <f t="shared" si="1"/>
        <v>14.096085346092528</v>
      </c>
    </row>
    <row r="11" spans="1:13" x14ac:dyDescent="0.2">
      <c r="A11" s="7" t="s">
        <v>12</v>
      </c>
      <c r="B11" t="s">
        <v>16</v>
      </c>
      <c r="C11" s="8">
        <v>9.5685131509999994</v>
      </c>
      <c r="D11" s="8">
        <v>0.37154211199999998</v>
      </c>
      <c r="E11" s="8">
        <v>0.66406726000000005</v>
      </c>
      <c r="F11" s="8">
        <v>7.8030303029999999</v>
      </c>
      <c r="G11" s="8">
        <v>6.6287878999999994E-2</v>
      </c>
      <c r="H11" s="8">
        <v>0.233825598</v>
      </c>
      <c r="I11" s="8">
        <v>-8.9044458909999999</v>
      </c>
      <c r="J11" s="8">
        <v>-7.5692047049999998</v>
      </c>
      <c r="K11" s="9">
        <v>0.03</v>
      </c>
      <c r="L11" s="10">
        <f t="shared" si="0"/>
        <v>0.99150485434171454</v>
      </c>
      <c r="M11" s="11">
        <f t="shared" si="1"/>
        <v>3.5274261528265223</v>
      </c>
    </row>
    <row r="12" spans="1:13" x14ac:dyDescent="0.2">
      <c r="A12" s="7" t="s">
        <v>13</v>
      </c>
      <c r="B12" t="s">
        <v>16</v>
      </c>
      <c r="C12" s="8">
        <v>14.489170489999999</v>
      </c>
      <c r="D12" s="8">
        <v>0.36600603500000001</v>
      </c>
      <c r="E12" s="8">
        <v>0.98124767300000004</v>
      </c>
      <c r="F12" s="8">
        <v>15.31060606</v>
      </c>
      <c r="G12" s="8">
        <v>5.8685446000000002E-2</v>
      </c>
      <c r="H12" s="8">
        <v>0.31202435299999998</v>
      </c>
      <c r="I12" s="8">
        <v>-13.507922819999999</v>
      </c>
      <c r="J12" s="8">
        <v>-14.99858171</v>
      </c>
      <c r="K12" s="9">
        <v>0.02</v>
      </c>
      <c r="L12" s="10">
        <f t="shared" si="0"/>
        <v>0.99616700699044702</v>
      </c>
      <c r="M12" s="11">
        <f t="shared" si="1"/>
        <v>5.3168949759707029</v>
      </c>
    </row>
    <row r="13" spans="1:13" ht="17" thickBot="1" x14ac:dyDescent="0.25">
      <c r="A13" s="12" t="s">
        <v>14</v>
      </c>
      <c r="B13" s="13" t="s">
        <v>16</v>
      </c>
      <c r="C13" s="14">
        <v>16.004948280000001</v>
      </c>
      <c r="D13" s="14">
        <v>0.324085134</v>
      </c>
      <c r="E13" s="14">
        <v>0.833980744</v>
      </c>
      <c r="F13" s="14">
        <v>17.48106061</v>
      </c>
      <c r="G13" s="14">
        <v>4.8076923000000001E-2</v>
      </c>
      <c r="H13" s="14">
        <v>0.26790750099999999</v>
      </c>
      <c r="I13" s="14">
        <v>-15.17096753</v>
      </c>
      <c r="J13" s="14">
        <v>-17.2131531</v>
      </c>
      <c r="K13" s="15">
        <v>0.02</v>
      </c>
      <c r="L13" s="16">
        <f t="shared" si="0"/>
        <v>0.9972497708192547</v>
      </c>
      <c r="M13" s="17">
        <f t="shared" si="1"/>
        <v>5.5724760297159612</v>
      </c>
    </row>
    <row r="14" spans="1:13" x14ac:dyDescent="0.2">
      <c r="A14" s="1" t="s">
        <v>10</v>
      </c>
      <c r="B14" s="2" t="s">
        <v>17</v>
      </c>
      <c r="C14" s="3">
        <v>1.055448392</v>
      </c>
      <c r="D14" s="3">
        <v>0</v>
      </c>
      <c r="E14" s="3">
        <v>0.21025390299999999</v>
      </c>
      <c r="F14" s="3">
        <v>0.46448087399999999</v>
      </c>
      <c r="G14" s="3">
        <v>0</v>
      </c>
      <c r="H14" s="3">
        <v>1.7793593999999999E-2</v>
      </c>
      <c r="I14" s="3">
        <v>-0.84519448900000005</v>
      </c>
      <c r="J14" s="3">
        <v>-0.44668728000000002</v>
      </c>
      <c r="K14" s="4">
        <v>0.04</v>
      </c>
      <c r="L14" s="5">
        <f t="shared" si="0"/>
        <v>1</v>
      </c>
      <c r="M14" s="6"/>
    </row>
    <row r="15" spans="1:13" x14ac:dyDescent="0.2">
      <c r="A15" s="7" t="s">
        <v>13</v>
      </c>
      <c r="B15" t="s">
        <v>17</v>
      </c>
      <c r="C15" s="8">
        <v>7.2301634879999996</v>
      </c>
      <c r="D15" s="8">
        <v>0.32216178899999998</v>
      </c>
      <c r="E15" s="8">
        <v>0.57903003799999997</v>
      </c>
      <c r="F15" s="8">
        <v>4.8181818180000002</v>
      </c>
      <c r="G15" s="8">
        <v>6.4553991000000005E-2</v>
      </c>
      <c r="H15" s="8">
        <v>0.11796042599999999</v>
      </c>
      <c r="I15" s="8">
        <v>-6.6511334499999997</v>
      </c>
      <c r="J15" s="8">
        <v>-4.7002213920000004</v>
      </c>
      <c r="K15" s="9">
        <v>0.02</v>
      </c>
      <c r="L15" s="10">
        <f t="shared" si="0"/>
        <v>0.98660200186741898</v>
      </c>
      <c r="M15" s="11">
        <f t="shared" si="1"/>
        <v>1.8273142244605758</v>
      </c>
    </row>
    <row r="16" spans="1:13" x14ac:dyDescent="0.2">
      <c r="A16" s="7" t="s">
        <v>12</v>
      </c>
      <c r="B16" t="s">
        <v>17</v>
      </c>
      <c r="C16" s="8">
        <v>5.4021346770000003</v>
      </c>
      <c r="D16" s="8">
        <v>0</v>
      </c>
      <c r="E16" s="8">
        <v>0.17036132600000001</v>
      </c>
      <c r="F16" s="8">
        <v>1.4610389610000001</v>
      </c>
      <c r="G16" s="8">
        <v>0</v>
      </c>
      <c r="H16" s="8">
        <v>1.7580872000000001E-2</v>
      </c>
      <c r="I16" s="8">
        <v>-5.2317733510000002</v>
      </c>
      <c r="J16" s="8">
        <v>-1.4434580889999999</v>
      </c>
      <c r="K16" s="9">
        <v>0.01</v>
      </c>
      <c r="L16" s="10">
        <f t="shared" si="0"/>
        <v>1</v>
      </c>
      <c r="M16" s="11"/>
    </row>
    <row r="17" spans="1:13" ht="17" thickBot="1" x14ac:dyDescent="0.25">
      <c r="A17" s="12" t="s">
        <v>14</v>
      </c>
      <c r="B17" s="13" t="s">
        <v>17</v>
      </c>
      <c r="C17" s="14">
        <v>9.8120688709999992</v>
      </c>
      <c r="D17" s="14">
        <v>1.5234644020000001</v>
      </c>
      <c r="E17" s="14">
        <v>0.26235290300000003</v>
      </c>
      <c r="F17" s="14">
        <v>6.7613636359999996</v>
      </c>
      <c r="G17" s="14">
        <v>0.23237179499999999</v>
      </c>
      <c r="H17" s="14">
        <v>4.2301183999999999E-2</v>
      </c>
      <c r="I17" s="14">
        <v>-9.5497159679999992</v>
      </c>
      <c r="J17" s="14">
        <v>-6.7190624520000002</v>
      </c>
      <c r="K17" s="15">
        <v>0.01</v>
      </c>
      <c r="L17" s="16">
        <f t="shared" si="0"/>
        <v>0.96563240678806761</v>
      </c>
      <c r="M17" s="17">
        <f t="shared" si="1"/>
        <v>0.18204095725128774</v>
      </c>
    </row>
    <row r="18" spans="1:13" x14ac:dyDescent="0.2">
      <c r="A18" s="1" t="s">
        <v>10</v>
      </c>
      <c r="B18" s="2" t="s">
        <v>18</v>
      </c>
      <c r="C18" s="3">
        <v>107.5494185</v>
      </c>
      <c r="D18" s="3">
        <v>6.7529329239999996</v>
      </c>
      <c r="E18" s="3">
        <v>18.357645959999999</v>
      </c>
      <c r="F18" s="3">
        <v>38.196721310000001</v>
      </c>
      <c r="G18" s="3">
        <v>2.8921568629999999</v>
      </c>
      <c r="H18" s="3">
        <v>6.0008896800000002</v>
      </c>
      <c r="I18" s="3">
        <v>-89.191772529999994</v>
      </c>
      <c r="J18" s="3">
        <v>-32.195831630000001</v>
      </c>
      <c r="K18" s="4">
        <v>0.16</v>
      </c>
      <c r="L18" s="5">
        <f t="shared" si="0"/>
        <v>0.92428258856231138</v>
      </c>
      <c r="M18" s="6">
        <f t="shared" si="1"/>
        <v>2.0748838891730612</v>
      </c>
    </row>
    <row r="19" spans="1:13" x14ac:dyDescent="0.2">
      <c r="A19" s="7" t="s">
        <v>13</v>
      </c>
      <c r="B19" t="s">
        <v>18</v>
      </c>
      <c r="C19" s="8">
        <v>927.61042380000004</v>
      </c>
      <c r="D19" s="8">
        <v>332.44847729999998</v>
      </c>
      <c r="E19" s="8">
        <v>187.51798579999999</v>
      </c>
      <c r="F19" s="8">
        <v>531.82575759999997</v>
      </c>
      <c r="G19" s="8">
        <v>124.67722999999999</v>
      </c>
      <c r="H19" s="8">
        <v>72.393455099999997</v>
      </c>
      <c r="I19" s="8">
        <v>-740.09243809999998</v>
      </c>
      <c r="J19" s="8">
        <v>-459.43230249999999</v>
      </c>
      <c r="K19" s="9">
        <v>0.14000000000000001</v>
      </c>
      <c r="L19" s="10">
        <f t="shared" si="0"/>
        <v>0.76556752241065207</v>
      </c>
      <c r="M19" s="11">
        <f t="shared" si="1"/>
        <v>0.58064696416498829</v>
      </c>
    </row>
    <row r="20" spans="1:13" x14ac:dyDescent="0.2">
      <c r="A20" s="7" t="s">
        <v>12</v>
      </c>
      <c r="B20" t="s">
        <v>18</v>
      </c>
      <c r="C20" s="8">
        <v>432.22094929999997</v>
      </c>
      <c r="D20" s="8">
        <v>170.96964070000001</v>
      </c>
      <c r="E20" s="8">
        <v>46.545186610000002</v>
      </c>
      <c r="F20" s="8">
        <v>190.91991340000001</v>
      </c>
      <c r="G20" s="8">
        <v>44.403409089999997</v>
      </c>
      <c r="H20" s="8">
        <v>19.229957809999998</v>
      </c>
      <c r="I20" s="8">
        <v>-385.67576270000001</v>
      </c>
      <c r="J20" s="8">
        <v>-171.68995559999999</v>
      </c>
      <c r="K20" s="9">
        <v>0.1</v>
      </c>
      <c r="L20" s="10">
        <f t="shared" si="0"/>
        <v>0.76742389885244944</v>
      </c>
      <c r="M20" s="11">
        <f t="shared" si="1"/>
        <v>0.43307390590266048</v>
      </c>
    </row>
    <row r="21" spans="1:13" ht="17" thickBot="1" x14ac:dyDescent="0.25">
      <c r="A21" s="12" t="s">
        <v>14</v>
      </c>
      <c r="B21" s="13" t="s">
        <v>18</v>
      </c>
      <c r="C21" s="14">
        <v>372.63651429999999</v>
      </c>
      <c r="D21" s="14">
        <v>220.62544349999999</v>
      </c>
      <c r="E21" s="14">
        <v>38.347918909999997</v>
      </c>
      <c r="F21" s="14">
        <v>289.72537879999999</v>
      </c>
      <c r="G21" s="14">
        <v>62.01923077</v>
      </c>
      <c r="H21" s="14">
        <v>21.00394811</v>
      </c>
      <c r="I21" s="14">
        <v>-334.28859540000002</v>
      </c>
      <c r="J21" s="14">
        <v>-268.72143069999998</v>
      </c>
      <c r="K21" s="15">
        <v>7.0000000000000007E-2</v>
      </c>
      <c r="L21" s="16">
        <f t="shared" si="0"/>
        <v>0.78593787321333552</v>
      </c>
      <c r="M21" s="17">
        <f t="shared" si="1"/>
        <v>0.33866831060665215</v>
      </c>
    </row>
  </sheetData>
  <conditionalFormatting sqref="K2:K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K1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:K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1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L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L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:L2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:M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:M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:M2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PostWasting_PreWasting_Differen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Williams</dc:creator>
  <cp:lastModifiedBy>Player, Alyssa</cp:lastModifiedBy>
  <dcterms:created xsi:type="dcterms:W3CDTF">2026-01-23T01:17:41Z</dcterms:created>
  <dcterms:modified xsi:type="dcterms:W3CDTF">2026-03-05T00:41:19Z</dcterms:modified>
</cp:coreProperties>
</file>